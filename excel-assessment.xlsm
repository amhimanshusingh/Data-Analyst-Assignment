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0" windowWidth="20460" windowHeight="75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K11" i="20"/>
  <c r="K12" i="20"/>
  <c r="K13" i="20"/>
  <c r="K14" i="20"/>
  <c r="K15" i="20"/>
  <c r="K16" i="20"/>
  <c r="K17" i="20"/>
  <c r="K18" i="20"/>
  <c r="K10" i="20"/>
  <c r="C19" i="20"/>
  <c r="D19" i="20"/>
  <c r="E19" i="20"/>
  <c r="F19" i="20"/>
  <c r="G19" i="20"/>
  <c r="H19" i="20"/>
  <c r="I19" i="20"/>
  <c r="J19" i="20"/>
  <c r="B19" i="20"/>
  <c r="C22" i="19"/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H43" i="1"/>
</calcChain>
</file>

<file path=xl/sharedStrings.xml><?xml version="1.0" encoding="utf-8"?>
<sst xmlns="http://schemas.openxmlformats.org/spreadsheetml/2006/main" count="407" uniqueCount="182">
  <si>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</si>
  <si>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</si>
  <si>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</si>
  <si>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</si>
  <si>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</si>
  <si>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</si>
  <si>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</si>
  <si>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</si>
  <si>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</si>
  <si>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</si>
  <si>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</si>
  <si>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</si>
  <si>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</si>
  <si>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</si>
  <si>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</si>
  <si>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</si>
  <si>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</si>
  <si>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</si>
  <si>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</si>
  <si>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</si>
  <si>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</si>
  <si>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</si>
  <si>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</si>
  <si>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</si>
  <si>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</si>
  <si>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</si>
  <si>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</si>
  <si>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</si>
  <si>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</si>
  <si>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</si>
  <si>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</si>
  <si>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</si>
  <si>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</si>
  <si>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</si>
  <si>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</si>
  <si>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</si>
  <si>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</si>
  <si>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</si>
  <si>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</si>
  <si>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</si>
  <si>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</si>
  <si>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</si>
  <si>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</si>
  <si>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</si>
  <si>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</si>
  <si>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</si>
  <si>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</si>
  <si>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</si>
  <si>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</si>
  <si>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</si>
  <si>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</si>
  <si>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</si>
  <si>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</si>
  <si>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</si>
  <si>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</si>
  <si>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</si>
  <si>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</si>
  <si>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</si>
  <si>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</si>
  <si>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</si>
  <si>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</si>
  <si>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</si>
  <si>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</si>
  <si>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</si>
  <si>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</si>
  <si>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</si>
  <si>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</si>
  <si>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</si>
  <si>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</si>
  <si>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</si>
  <si>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</si>
  <si>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</si>
  <si>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</si>
  <si>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</si>
  <si>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</si>
  <si>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</si>
  <si>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</si>
  <si>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</si>
  <si>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</si>
  <si>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</si>
  <si>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</si>
  <si>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</si>
  <si>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</si>
  <si>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</si>
  <si>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</si>
  <si>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</si>
  <si>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</si>
  <si>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</si>
  <si>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</si>
  <si>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</si>
  <si>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</si>
  <si>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</si>
  <si>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</si>
  <si>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</si>
  <si>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</si>
  <si>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</si>
  <si>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</si>
  <si>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</si>
  <si>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</si>
  <si>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</si>
  <si>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</si>
  <si>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</si>
  <si>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</si>
  <si>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</si>
  <si>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</si>
  <si>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</si>
  <si>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</si>
  <si>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</si>
  <si>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</si>
  <si>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</si>
  <si>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</si>
  <si>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</si>
  <si>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</si>
  <si>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</si>
  <si>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</si>
  <si>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</si>
  <si>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</si>
  <si>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</si>
  <si>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</si>
  <si>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</si>
  <si>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</si>
  <si>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</si>
  <si>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</si>
  <si>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</si>
  <si>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</si>
  <si>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</si>
  <si>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</si>
  <si>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</si>
  <si>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</si>
  <si>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</si>
  <si>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</si>
  <si>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</si>
  <si>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</si>
  <si>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</si>
  <si>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</si>
  <si>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</si>
  <si>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</si>
  <si>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</si>
  <si>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</si>
  <si>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</si>
  <si>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</si>
  <si>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</si>
  <si>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</si>
  <si>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</si>
  <si>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</si>
  <si>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</si>
  <si>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</si>
  <si>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</si>
  <si>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</si>
  <si>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</si>
  <si>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</si>
  <si>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</si>
  <si>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</si>
  <si>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</si>
  <si>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</si>
  <si>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</si>
  <si>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</si>
  <si>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</si>
  <si>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</si>
  <si>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</si>
  <si>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</si>
  <si>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</si>
  <si>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</si>
  <si>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</si>
  <si>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</si>
  <si>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</si>
  <si>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</si>
  <si>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</si>
  <si>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</si>
  <si>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</si>
  <si>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</si>
  <si>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</si>
  <si>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</si>
  <si>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</si>
  <si>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</si>
  <si>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</si>
  <si>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</si>
  <si>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</si>
  <si>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Method 1:The functionality here can be used Text to columns and then using split function.                                                     Method 2: Another method that could be used is to identify patterns 20000 and the next value 20002 increases by 2 and so on.            Then drag all the values to fill the complete table. </t>
  </si>
  <si>
    <t>The formula used here is the sum function and all the products from the product column are added to get the total sales amount</t>
  </si>
  <si>
    <t>Sum Total</t>
  </si>
  <si>
    <t>The functionality used here is sum function. The logic that I got is that A's total column wise and row wise are same. Likewise it is same for all letters from A to I. The values in Table C is the sum of IDs. For Example: name_1 and name_2 is the sum of A and B ie. 10100 and 10102.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</si>
</sst>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000000"/>
      <name val="Times New Roman"/>
      <family val="1"/>
    </font>
    <font>
      <sz val="18"/>
      <color rgb="FF000000"/>
      <name val="Times New Roman"/>
      <family val="1"/>
    </font>
    <font>
      <sz val="12"/>
      <color rgb="FF000000"/>
      <name val="Times New Roman"/>
      <family val="1"/>
    </font>
    <font>
      <sz val="20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6" borderId="0" xfId="0" applyFont="1" applyFill="1"/>
    <xf numFmtId="0" fontId="3" fillId="7" borderId="0" xfId="0" applyFont="1" applyFill="1"/>
    <xf numFmtId="166" fontId="3" fillId="0" borderId="0" xfId="0" applyNumberFormat="1" applyFont="1"/>
    <xf numFmtId="0" fontId="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8" fillId="0" borderId="1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4"/>
  <sheetViews>
    <sheetView zoomScaleNormal="100" workbookViewId="0">
      <pane xSplit="1" topLeftCell="B1" activePane="topRight" state="frozen"/>
      <selection pane="topRight" activeCell="P10" sqref="P1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5">
        <v>-1</v>
      </c>
      <c r="K2" s="45">
        <v>-1</v>
      </c>
      <c r="L2" s="45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5">
        <v>-1</v>
      </c>
      <c r="K3" s="45">
        <v>-1</v>
      </c>
      <c r="L3" s="45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5">
        <v>-1</v>
      </c>
      <c r="K4" s="45">
        <v>-1</v>
      </c>
      <c r="L4" s="45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5">
        <v>-1</v>
      </c>
      <c r="K5" s="45">
        <v>-1</v>
      </c>
      <c r="L5" s="45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5">
        <v>-1</v>
      </c>
      <c r="K6" s="45">
        <v>-1</v>
      </c>
      <c r="L6" s="45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5">
        <v>-1</v>
      </c>
      <c r="K7" s="45">
        <v>-1</v>
      </c>
      <c r="L7" s="45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5">
        <v>-1</v>
      </c>
      <c r="K8" s="45">
        <v>-1</v>
      </c>
      <c r="L8" s="45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5">
        <v>-1</v>
      </c>
      <c r="K9" s="45">
        <v>-1</v>
      </c>
      <c r="L9" s="45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5">
        <v>-1</v>
      </c>
      <c r="K10" s="45">
        <v>-1</v>
      </c>
      <c r="L10" s="45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5">
        <v>-1</v>
      </c>
      <c r="K11" s="45">
        <v>-1</v>
      </c>
      <c r="L11" s="45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6">
        <v>0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5">
        <v>-1</v>
      </c>
      <c r="K13" s="45">
        <v>-1</v>
      </c>
      <c r="L13" s="45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5">
        <v>-1</v>
      </c>
      <c r="K14" s="45">
        <v>-1</v>
      </c>
      <c r="L14" s="45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5">
        <v>-1</v>
      </c>
      <c r="K15" s="45">
        <v>-1</v>
      </c>
      <c r="L15" s="45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5">
        <v>-1</v>
      </c>
      <c r="K16" s="45">
        <v>-1</v>
      </c>
      <c r="L16" s="45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5">
        <v>-1</v>
      </c>
      <c r="K17" s="45">
        <v>-1</v>
      </c>
      <c r="L17" s="45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5">
        <v>-1</v>
      </c>
      <c r="K18" s="45">
        <v>-1</v>
      </c>
      <c r="L18" s="45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5">
        <v>-1</v>
      </c>
      <c r="K19" s="45">
        <v>-1</v>
      </c>
      <c r="L19" s="45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5">
        <v>-1</v>
      </c>
      <c r="K20" s="45">
        <v>-1</v>
      </c>
      <c r="L20" s="45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5">
        <v>-1</v>
      </c>
      <c r="K21" s="45">
        <v>-1</v>
      </c>
      <c r="L21" s="45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5">
        <v>-1</v>
      </c>
      <c r="K22" s="45">
        <v>-1</v>
      </c>
      <c r="L22" s="45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5">
        <v>-1</v>
      </c>
      <c r="K23" s="45">
        <v>-1</v>
      </c>
      <c r="L23" s="45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5">
        <v>-1</v>
      </c>
      <c r="K24" s="45">
        <v>-1</v>
      </c>
      <c r="L24" s="45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5">
        <v>-1</v>
      </c>
      <c r="K25" s="45">
        <v>-1</v>
      </c>
      <c r="L25" s="45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5">
        <v>-1</v>
      </c>
      <c r="K27" s="45">
        <v>-1</v>
      </c>
      <c r="L27" s="45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5">
        <v>-1</v>
      </c>
      <c r="K28" s="45">
        <v>-1</v>
      </c>
      <c r="L28" s="45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5">
        <v>-1</v>
      </c>
      <c r="K29" s="45">
        <v>-1</v>
      </c>
      <c r="L29" s="45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5">
        <v>-1</v>
      </c>
      <c r="H30" s="45">
        <v>-1</v>
      </c>
      <c r="I30" s="45">
        <v>-1</v>
      </c>
      <c r="J30" s="45">
        <v>-1</v>
      </c>
      <c r="K30" s="45">
        <v>-1</v>
      </c>
      <c r="L30" s="45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5">
        <v>-1</v>
      </c>
      <c r="K31" s="45">
        <v>-1</v>
      </c>
      <c r="L31" s="45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5">
        <v>-1</v>
      </c>
      <c r="H32" s="45">
        <v>-1</v>
      </c>
      <c r="I32" s="45">
        <v>-1</v>
      </c>
      <c r="J32" s="45">
        <v>-1</v>
      </c>
      <c r="K32" s="45">
        <v>-1</v>
      </c>
      <c r="L32" s="45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5">
        <v>-1</v>
      </c>
      <c r="K33" s="45">
        <v>-1</v>
      </c>
      <c r="L33" s="45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5">
        <v>-1</v>
      </c>
      <c r="K34" s="45">
        <v>-1</v>
      </c>
      <c r="L34" s="45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5">
        <v>-1</v>
      </c>
      <c r="K35" s="45">
        <v>-1</v>
      </c>
      <c r="L35" s="45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5">
        <v>-1</v>
      </c>
      <c r="K36" s="45">
        <v>-1</v>
      </c>
      <c r="L36" s="45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5">
        <v>-1</v>
      </c>
      <c r="K37" s="45">
        <v>-1</v>
      </c>
      <c r="L37" s="45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5">
        <v>-1</v>
      </c>
      <c r="K38" s="45">
        <v>-1</v>
      </c>
      <c r="L38" s="45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5">
        <v>-1</v>
      </c>
      <c r="K39" s="45">
        <v>-1</v>
      </c>
      <c r="L39" s="45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5">
        <v>-1</v>
      </c>
      <c r="K40" s="45">
        <v>-1</v>
      </c>
      <c r="L40" s="45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3" spans="1:24" x14ac:dyDescent="0.25">
      <c r="B43" s="48" t="s">
        <v>104</v>
      </c>
      <c r="C43" s="48"/>
      <c r="D43" s="48"/>
      <c r="E43" s="48"/>
      <c r="F43" s="48"/>
      <c r="G43" s="48"/>
      <c r="H43" s="48">
        <f xml:space="preserve"> SUM(H10,H11,H13,H14,H15,H16,H17,H18,H19,H20,H21,H22,H23,H24,H25,H27,H28,H29,H31,H33,H34,H35,H36,H37,H38,H39,H41)</f>
        <v>1395.8000000000002</v>
      </c>
    </row>
    <row r="44" spans="1:24" x14ac:dyDescent="0.25">
      <c r="B44" s="48"/>
      <c r="C44" s="48"/>
      <c r="D44" s="48"/>
      <c r="E44" s="48"/>
      <c r="F44" s="48"/>
      <c r="G44" s="48"/>
      <c r="H44" s="48"/>
    </row>
  </sheetData>
  <mergeCells count="2">
    <mergeCell ref="B43:G44"/>
    <mergeCell ref="H43:H44"/>
  </mergeCells>
  <conditionalFormatting sqref="A1:A1048576">
    <cfRule type="duplicateValues" dxfId="1" priority="2"/>
  </conditionalFormatting>
  <conditionalFormatting sqref="B1:B43 B45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G34" sqref="G3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165</v>
      </c>
    </row>
    <row r="2" spans="1:7" s="40" customFormat="1" ht="21" x14ac:dyDescent="0.35">
      <c r="B2" s="40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v>2.7</v>
      </c>
      <c r="C6" s="11">
        <v>7.6</v>
      </c>
      <c r="D6" s="11">
        <v>4.2</v>
      </c>
      <c r="E6" s="11">
        <v>8.9</v>
      </c>
      <c r="F6" s="8">
        <v>4.2</v>
      </c>
    </row>
    <row r="7" spans="1:7" ht="15" x14ac:dyDescent="0.25">
      <c r="A7" s="7" t="s">
        <v>4</v>
      </c>
      <c r="B7" s="11"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5" x14ac:dyDescent="0.25">
      <c r="A8" s="7" t="s">
        <v>7</v>
      </c>
      <c r="B8" s="11"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5" x14ac:dyDescent="0.25">
      <c r="A9" s="7" t="s">
        <v>8</v>
      </c>
      <c r="B9" s="11"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5" x14ac:dyDescent="0.25">
      <c r="A10" s="7" t="s">
        <v>11</v>
      </c>
      <c r="B10" s="11"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5" x14ac:dyDescent="0.25">
      <c r="A11" s="7" t="s">
        <v>12</v>
      </c>
      <c r="B11" s="11"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5" x14ac:dyDescent="0.25">
      <c r="A12" s="7" t="s">
        <v>14</v>
      </c>
      <c r="B12" s="11"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5" x14ac:dyDescent="0.25">
      <c r="A13" s="7" t="s">
        <v>15</v>
      </c>
      <c r="B13" s="11"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5" x14ac:dyDescent="0.25">
      <c r="A14" s="7" t="s">
        <v>16</v>
      </c>
      <c r="B14" s="11"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5" x14ac:dyDescent="0.25">
      <c r="A15" s="7" t="s">
        <v>18</v>
      </c>
      <c r="B15" s="11"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5" x14ac:dyDescent="0.25">
      <c r="A16" s="7" t="s">
        <v>20</v>
      </c>
      <c r="B16" s="11">
        <v>28.5</v>
      </c>
      <c r="C16" s="11">
        <v>85.4</v>
      </c>
      <c r="D16" s="11">
        <v>53.7</v>
      </c>
      <c r="E16" s="11">
        <v>106.1</v>
      </c>
      <c r="F16" s="8">
        <v>52.3</v>
      </c>
    </row>
    <row r="17" spans="1:6" ht="15" x14ac:dyDescent="0.25">
      <c r="A17" s="7" t="s">
        <v>22</v>
      </c>
      <c r="B17" s="11"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5" x14ac:dyDescent="0.25">
      <c r="A18" s="7" t="s">
        <v>23</v>
      </c>
      <c r="B18" s="11"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5" x14ac:dyDescent="0.25">
      <c r="A19" s="7" t="s">
        <v>24</v>
      </c>
      <c r="B19" s="11"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5" x14ac:dyDescent="0.25">
      <c r="A20" s="7" t="s">
        <v>28</v>
      </c>
      <c r="B20" s="11"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5" x14ac:dyDescent="0.25">
      <c r="A21" s="7" t="s">
        <v>57</v>
      </c>
      <c r="B21" s="11"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5" x14ac:dyDescent="0.25">
      <c r="A22" s="7" t="s">
        <v>58</v>
      </c>
      <c r="B22" s="11"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5" x14ac:dyDescent="0.25">
      <c r="A23" s="7" t="s">
        <v>31</v>
      </c>
      <c r="B23" s="11"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5" x14ac:dyDescent="0.25">
      <c r="A24" s="7" t="s">
        <v>32</v>
      </c>
      <c r="B24" s="11"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5" x14ac:dyDescent="0.25">
      <c r="A25" s="7" t="s">
        <v>34</v>
      </c>
      <c r="B25" s="11"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5" x14ac:dyDescent="0.25">
      <c r="A26" s="7" t="s">
        <v>37</v>
      </c>
      <c r="B26" s="11"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5" x14ac:dyDescent="0.25">
      <c r="A27" s="7" t="s">
        <v>39</v>
      </c>
      <c r="B27" s="11"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5" x14ac:dyDescent="0.25">
      <c r="A28" s="18" t="s">
        <v>82</v>
      </c>
      <c r="B28" s="30"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v>51.8</v>
      </c>
      <c r="C29" s="30">
        <f>MAX(C6:C28)</f>
        <v>156.4</v>
      </c>
      <c r="D29" s="30">
        <f>MAX(D6:D28)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37.863636363636367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4"/>
  <sheetViews>
    <sheetView zoomScaleNormal="100" workbookViewId="0">
      <selection activeCell="B5" sqref="B5:Q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7" s="40" customFormat="1" ht="21" x14ac:dyDescent="0.35">
      <c r="A1" s="41" t="s">
        <v>56</v>
      </c>
      <c r="B1" s="40" t="s">
        <v>175</v>
      </c>
    </row>
    <row r="2" spans="1:17" customFormat="1" ht="12.75" x14ac:dyDescent="0.2"/>
    <row r="3" spans="1:17" s="2" customFormat="1" x14ac:dyDescent="0.25">
      <c r="B3" s="1"/>
    </row>
    <row r="4" spans="1:17" s="2" customFormat="1" x14ac:dyDescent="0.25">
      <c r="B4" s="1" t="s">
        <v>152</v>
      </c>
    </row>
    <row r="5" spans="1:17" ht="18.75" x14ac:dyDescent="0.3">
      <c r="A5" s="42" t="s">
        <v>53</v>
      </c>
      <c r="B5" s="50" t="s">
        <v>178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8.75" x14ac:dyDescent="0.3">
      <c r="A6" s="42" t="s">
        <v>154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8.75" x14ac:dyDescent="0.3">
      <c r="A7" s="42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x14ac:dyDescent="0.25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23.25" x14ac:dyDescent="0.35">
      <c r="A9" s="17" t="s">
        <v>166</v>
      </c>
      <c r="I9" s="2"/>
      <c r="J9" s="2"/>
    </row>
    <row r="10" spans="1:17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7" x14ac:dyDescent="0.25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7" ht="23.25" x14ac:dyDescent="0.35">
      <c r="A14" s="17" t="s">
        <v>163</v>
      </c>
    </row>
    <row r="15" spans="1:17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7" x14ac:dyDescent="0.25">
      <c r="A16" s="7" t="s">
        <v>122</v>
      </c>
      <c r="B16" s="12">
        <v>20000</v>
      </c>
      <c r="C16" s="12" t="s">
        <v>5</v>
      </c>
      <c r="D16" s="12">
        <v>0</v>
      </c>
      <c r="E16" s="10" t="s">
        <v>6</v>
      </c>
      <c r="F16" s="10">
        <v>24</v>
      </c>
    </row>
    <row r="17" spans="1:6" x14ac:dyDescent="0.2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125</v>
      </c>
      <c r="B19" s="12">
        <v>20006</v>
      </c>
      <c r="C19" s="12" t="s">
        <v>5</v>
      </c>
      <c r="D19" s="12">
        <v>0</v>
      </c>
      <c r="E19" s="10" t="s">
        <v>6</v>
      </c>
      <c r="F19" s="10">
        <v>24</v>
      </c>
    </row>
    <row r="20" spans="1:6" x14ac:dyDescent="0.2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128</v>
      </c>
      <c r="B22" s="12">
        <v>20012</v>
      </c>
      <c r="C22" s="12" t="s">
        <v>5</v>
      </c>
      <c r="D22" s="12">
        <v>0</v>
      </c>
      <c r="E22" s="10" t="s">
        <v>6</v>
      </c>
      <c r="F22" s="10">
        <v>24</v>
      </c>
    </row>
    <row r="23" spans="1:6" x14ac:dyDescent="0.2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131</v>
      </c>
      <c r="B25" s="12">
        <v>20018</v>
      </c>
      <c r="C25" s="12" t="s">
        <v>5</v>
      </c>
      <c r="D25" s="12">
        <v>0</v>
      </c>
      <c r="E25" s="10" t="s">
        <v>6</v>
      </c>
      <c r="F25" s="10">
        <v>24</v>
      </c>
    </row>
    <row r="26" spans="1:6" x14ac:dyDescent="0.2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134</v>
      </c>
      <c r="B28" s="12">
        <v>20024</v>
      </c>
      <c r="C28" s="12" t="s">
        <v>5</v>
      </c>
      <c r="D28" s="12">
        <v>0</v>
      </c>
      <c r="E28" s="10" t="s">
        <v>6</v>
      </c>
      <c r="F28" s="10">
        <v>24</v>
      </c>
    </row>
    <row r="29" spans="1:6" x14ac:dyDescent="0.2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137</v>
      </c>
      <c r="B31" s="12">
        <v>20030</v>
      </c>
      <c r="C31" s="12" t="s">
        <v>5</v>
      </c>
      <c r="D31" s="12">
        <v>0</v>
      </c>
      <c r="E31" s="10" t="s">
        <v>6</v>
      </c>
      <c r="F31" s="10">
        <v>24</v>
      </c>
    </row>
    <row r="32" spans="1:6" x14ac:dyDescent="0.2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140</v>
      </c>
      <c r="B34" s="12">
        <v>20036</v>
      </c>
      <c r="C34" s="12" t="s">
        <v>5</v>
      </c>
      <c r="D34" s="12">
        <v>0</v>
      </c>
      <c r="E34" s="10" t="s">
        <v>6</v>
      </c>
      <c r="F34" s="10">
        <v>24</v>
      </c>
    </row>
    <row r="35" spans="1:6" x14ac:dyDescent="0.2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142</v>
      </c>
      <c r="B36" s="12">
        <v>20040</v>
      </c>
      <c r="C36" s="12" t="s">
        <v>5</v>
      </c>
      <c r="D36" s="12">
        <v>0</v>
      </c>
      <c r="E36" s="10" t="s">
        <v>6</v>
      </c>
      <c r="F36" s="10">
        <v>24</v>
      </c>
    </row>
    <row r="37" spans="1:6" x14ac:dyDescent="0.2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145</v>
      </c>
      <c r="B39" s="12">
        <v>20046</v>
      </c>
      <c r="C39" s="12" t="s">
        <v>5</v>
      </c>
      <c r="D39" s="12">
        <v>0</v>
      </c>
      <c r="E39" s="10" t="s">
        <v>6</v>
      </c>
      <c r="F39" s="10">
        <v>24</v>
      </c>
    </row>
    <row r="40" spans="1:6" x14ac:dyDescent="0.2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148</v>
      </c>
      <c r="B42" s="12">
        <v>20052</v>
      </c>
      <c r="C42" s="12" t="s">
        <v>5</v>
      </c>
      <c r="D42" s="12">
        <v>0</v>
      </c>
      <c r="E42" s="10" t="s">
        <v>6</v>
      </c>
      <c r="F42" s="10">
        <v>24</v>
      </c>
    </row>
    <row r="43" spans="1:6" x14ac:dyDescent="0.2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150</v>
      </c>
      <c r="B44" s="11">
        <v>20056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151</v>
      </c>
      <c r="B45" s="12">
        <v>20058</v>
      </c>
      <c r="C45" s="12" t="s">
        <v>5</v>
      </c>
      <c r="D45" s="12">
        <v>0</v>
      </c>
      <c r="E45" s="10" t="s">
        <v>6</v>
      </c>
      <c r="F45" s="10">
        <v>24</v>
      </c>
    </row>
    <row r="46" spans="1:6" x14ac:dyDescent="0.25">
      <c r="A46" s="7" t="s">
        <v>113</v>
      </c>
      <c r="B46" s="11">
        <v>20060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114</v>
      </c>
      <c r="B47" s="11">
        <v>20062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115</v>
      </c>
      <c r="B48" s="12">
        <v>20064</v>
      </c>
      <c r="C48" s="12" t="s">
        <v>5</v>
      </c>
      <c r="D48" s="12">
        <v>0</v>
      </c>
      <c r="E48" s="10" t="s">
        <v>6</v>
      </c>
      <c r="F48" s="10">
        <v>24</v>
      </c>
    </row>
    <row r="49" spans="1:6" x14ac:dyDescent="0.25">
      <c r="A49" s="7" t="s">
        <v>116</v>
      </c>
      <c r="B49" s="11">
        <v>20066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117</v>
      </c>
      <c r="B50" s="11">
        <v>20068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118</v>
      </c>
      <c r="B51" s="12">
        <v>20070</v>
      </c>
      <c r="C51" s="12" t="s">
        <v>5</v>
      </c>
      <c r="D51" s="12">
        <v>0</v>
      </c>
      <c r="E51" s="10" t="s">
        <v>6</v>
      </c>
      <c r="F51" s="10">
        <v>24</v>
      </c>
    </row>
    <row r="52" spans="1:6" x14ac:dyDescent="0.25">
      <c r="A52" s="7" t="s">
        <v>119</v>
      </c>
      <c r="B52" s="11">
        <v>20072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120</v>
      </c>
      <c r="B53" s="11">
        <v>20074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121</v>
      </c>
      <c r="B54" s="12">
        <v>20076</v>
      </c>
      <c r="C54" s="12" t="s">
        <v>5</v>
      </c>
      <c r="D54" s="12">
        <v>0</v>
      </c>
      <c r="E54" s="10" t="s">
        <v>6</v>
      </c>
      <c r="F54" s="10">
        <v>24</v>
      </c>
    </row>
  </sheetData>
  <mergeCells count="1">
    <mergeCell ref="B5:Q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topLeftCell="A10" zoomScaleNormal="100" workbookViewId="0">
      <selection activeCell="J14" sqref="J1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 x14ac:dyDescent="0.35">
      <c r="A1" s="41" t="s">
        <v>85</v>
      </c>
      <c r="B1" s="40" t="s">
        <v>168</v>
      </c>
    </row>
    <row r="2" spans="1:13" ht="18.75" x14ac:dyDescent="0.3">
      <c r="B2" s="39" t="s">
        <v>167</v>
      </c>
    </row>
    <row r="5" spans="1:13" ht="15" x14ac:dyDescent="0.25">
      <c r="B5" s="1" t="s">
        <v>152</v>
      </c>
    </row>
    <row r="6" spans="1:13" ht="15" customHeight="1" x14ac:dyDescent="0.25">
      <c r="A6" s="3" t="s">
        <v>53</v>
      </c>
      <c r="B6" s="1"/>
      <c r="C6" s="49" t="s">
        <v>179</v>
      </c>
      <c r="D6" s="49"/>
      <c r="E6" s="49"/>
      <c r="F6" s="49"/>
      <c r="G6" s="49"/>
      <c r="H6" s="49"/>
      <c r="I6" s="49"/>
      <c r="J6" s="49"/>
      <c r="K6" s="49"/>
      <c r="L6" s="49"/>
      <c r="M6" s="49"/>
    </row>
    <row r="7" spans="1:13" ht="15" x14ac:dyDescent="0.25">
      <c r="A7" s="3" t="s">
        <v>154</v>
      </c>
      <c r="B7" s="1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</row>
    <row r="8" spans="1:13" x14ac:dyDescent="0.2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</row>
    <row r="9" spans="1:13" x14ac:dyDescent="0.2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</row>
    <row r="10" spans="1:13" ht="23.25" x14ac:dyDescent="0.35">
      <c r="A10" s="17" t="s">
        <v>163</v>
      </c>
    </row>
    <row r="11" spans="1:13" ht="15" x14ac:dyDescent="0.25">
      <c r="A11" s="31" t="s">
        <v>86</v>
      </c>
      <c r="B11" s="16" t="s">
        <v>87</v>
      </c>
      <c r="C11" s="16" t="s">
        <v>88</v>
      </c>
    </row>
    <row r="12" spans="1:13" ht="15" x14ac:dyDescent="0.25">
      <c r="A12" s="31">
        <v>44927</v>
      </c>
      <c r="B12" s="16" t="s">
        <v>59</v>
      </c>
      <c r="C12" s="16">
        <v>200</v>
      </c>
    </row>
    <row r="13" spans="1:13" ht="15" x14ac:dyDescent="0.25">
      <c r="A13" s="31">
        <v>44928</v>
      </c>
      <c r="B13" s="16" t="s">
        <v>60</v>
      </c>
      <c r="C13" s="16">
        <v>20</v>
      </c>
    </row>
    <row r="14" spans="1:13" ht="15" x14ac:dyDescent="0.25">
      <c r="A14" s="31">
        <v>44929</v>
      </c>
      <c r="B14" s="16" t="s">
        <v>61</v>
      </c>
      <c r="C14" s="16">
        <v>50</v>
      </c>
    </row>
    <row r="15" spans="1:13" ht="15" x14ac:dyDescent="0.25">
      <c r="A15" s="31">
        <v>44930</v>
      </c>
      <c r="B15" s="16" t="s">
        <v>62</v>
      </c>
      <c r="C15" s="16">
        <v>20</v>
      </c>
    </row>
    <row r="16" spans="1:1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>
        <v>20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>
        <v>20</v>
      </c>
    </row>
    <row r="22" spans="1:3" ht="15" x14ac:dyDescent="0.25">
      <c r="B22" s="16" t="s">
        <v>160</v>
      </c>
      <c r="C22" s="24">
        <f>SUM(C12:C21)</f>
        <v>600</v>
      </c>
    </row>
  </sheetData>
  <mergeCells count="1">
    <mergeCell ref="C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tabSelected="1" zoomScaleNormal="100" workbookViewId="0">
      <selection activeCell="G22" sqref="G2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7" ht="21" x14ac:dyDescent="0.35">
      <c r="A1" s="41" t="s">
        <v>98</v>
      </c>
      <c r="B1" s="40" t="s">
        <v>176</v>
      </c>
    </row>
    <row r="3" spans="1:17" ht="15" x14ac:dyDescent="0.25">
      <c r="B3" s="1" t="s">
        <v>152</v>
      </c>
    </row>
    <row r="4" spans="1:17" ht="18.75" x14ac:dyDescent="0.3">
      <c r="A4" s="42" t="s">
        <v>53</v>
      </c>
      <c r="B4" s="1"/>
      <c r="C4" s="54" t="s">
        <v>181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8.75" x14ac:dyDescent="0.3">
      <c r="A5" s="42" t="s">
        <v>154</v>
      </c>
      <c r="B5" s="1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5">
      <c r="A6" s="3"/>
      <c r="B6" s="1"/>
    </row>
    <row r="8" spans="1:17" ht="23.25" x14ac:dyDescent="0.35">
      <c r="A8" s="17" t="s">
        <v>163</v>
      </c>
      <c r="M8" s="17" t="s">
        <v>164</v>
      </c>
    </row>
    <row r="9" spans="1:17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K9" s="52" t="s">
        <v>180</v>
      </c>
      <c r="M9" s="18" t="s">
        <v>43</v>
      </c>
      <c r="N9" s="18" t="s">
        <v>99</v>
      </c>
    </row>
    <row r="10" spans="1:17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K10" s="24">
        <f>SUM(B10:J10)</f>
        <v>2258</v>
      </c>
      <c r="M10" s="11">
        <v>10100</v>
      </c>
      <c r="N10" s="11" t="s">
        <v>89</v>
      </c>
    </row>
    <row r="11" spans="1:17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K11" s="24">
        <f t="shared" ref="K11:K18" si="0">SUM(B11:J11)</f>
        <v>1698</v>
      </c>
      <c r="M11" s="11">
        <v>10102</v>
      </c>
      <c r="N11" s="11" t="s">
        <v>90</v>
      </c>
    </row>
    <row r="12" spans="1:17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K12" s="24">
        <f t="shared" si="0"/>
        <v>1417</v>
      </c>
      <c r="M12" s="11">
        <v>10104</v>
      </c>
      <c r="N12" s="11" t="s">
        <v>91</v>
      </c>
    </row>
    <row r="13" spans="1:17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K13" s="24">
        <f t="shared" si="0"/>
        <v>1399</v>
      </c>
      <c r="M13" s="11">
        <v>10106</v>
      </c>
      <c r="N13" s="11" t="s">
        <v>92</v>
      </c>
    </row>
    <row r="14" spans="1:17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K14" s="24">
        <f t="shared" si="0"/>
        <v>1329</v>
      </c>
      <c r="M14" s="11">
        <v>10108</v>
      </c>
      <c r="N14" s="11" t="s">
        <v>93</v>
      </c>
    </row>
    <row r="15" spans="1:17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K15" s="24">
        <f t="shared" si="0"/>
        <v>1379</v>
      </c>
      <c r="M15" s="11">
        <v>10110</v>
      </c>
      <c r="N15" s="11" t="s">
        <v>94</v>
      </c>
    </row>
    <row r="16" spans="1:17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K16" s="24">
        <f t="shared" si="0"/>
        <v>1719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K17" s="24">
        <f t="shared" si="0"/>
        <v>2039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K18" s="24">
        <f t="shared" si="0"/>
        <v>2329</v>
      </c>
      <c r="M18" s="12">
        <v>10116</v>
      </c>
      <c r="N18" s="12" t="s">
        <v>97</v>
      </c>
    </row>
    <row r="19" spans="1:14" x14ac:dyDescent="0.2">
      <c r="A19" s="52" t="s">
        <v>180</v>
      </c>
      <c r="B19" s="24">
        <f>SUM(B10:B18)</f>
        <v>2258</v>
      </c>
      <c r="C19" s="24">
        <f t="shared" ref="C19:J19" si="1">SUM(C10:C18)</f>
        <v>1698</v>
      </c>
      <c r="D19" s="24">
        <f t="shared" si="1"/>
        <v>1417</v>
      </c>
      <c r="E19" s="24">
        <f t="shared" si="1"/>
        <v>1399</v>
      </c>
      <c r="F19" s="24">
        <f t="shared" si="1"/>
        <v>1329</v>
      </c>
      <c r="G19" s="24">
        <f t="shared" si="1"/>
        <v>1379</v>
      </c>
      <c r="H19" s="24">
        <f t="shared" si="1"/>
        <v>1719</v>
      </c>
      <c r="I19" s="24">
        <f t="shared" si="1"/>
        <v>2039</v>
      </c>
      <c r="J19" s="24">
        <f t="shared" si="1"/>
        <v>2329</v>
      </c>
      <c r="K19" s="24"/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SUM(B19+C19)</f>
        <v>3956</v>
      </c>
    </row>
    <row r="24" spans="1:14" ht="15" x14ac:dyDescent="0.25">
      <c r="A24" s="7">
        <v>10100</v>
      </c>
      <c r="B24" s="11">
        <v>10104</v>
      </c>
      <c r="C24" s="43">
        <f>SUM(B19+D19)</f>
        <v>3675</v>
      </c>
    </row>
    <row r="25" spans="1:14" ht="15" x14ac:dyDescent="0.25">
      <c r="A25" s="7">
        <v>10108</v>
      </c>
      <c r="B25" s="11">
        <v>10102</v>
      </c>
      <c r="C25" s="43">
        <f>SUM(F19+C19)</f>
        <v>3027</v>
      </c>
    </row>
    <row r="26" spans="1:14" ht="15" x14ac:dyDescent="0.25">
      <c r="A26" s="7">
        <v>10100</v>
      </c>
      <c r="B26" s="11">
        <v>10106</v>
      </c>
      <c r="C26" s="43">
        <f>SUM(B19+E19)</f>
        <v>3657</v>
      </c>
    </row>
    <row r="27" spans="1:14" ht="15" x14ac:dyDescent="0.25">
      <c r="A27" s="7">
        <v>10108</v>
      </c>
      <c r="B27" s="11">
        <v>10110</v>
      </c>
      <c r="C27" s="43">
        <f>SUM(F19+G19)</f>
        <v>2708</v>
      </c>
    </row>
    <row r="28" spans="1:14" ht="15" x14ac:dyDescent="0.25">
      <c r="A28" s="7">
        <v>10102</v>
      </c>
      <c r="B28" s="11">
        <v>10104</v>
      </c>
      <c r="C28" s="43">
        <f>SUM(C19+D19)</f>
        <v>3115</v>
      </c>
    </row>
    <row r="29" spans="1:14" ht="15" x14ac:dyDescent="0.25">
      <c r="A29" s="7">
        <v>10106</v>
      </c>
      <c r="B29" s="11">
        <v>10108</v>
      </c>
      <c r="C29" s="43">
        <f>SUM(E19+F19)</f>
        <v>2728</v>
      </c>
    </row>
    <row r="30" spans="1:14" ht="15" x14ac:dyDescent="0.25">
      <c r="A30" s="7">
        <v>10102</v>
      </c>
      <c r="B30" s="11">
        <v>10106</v>
      </c>
      <c r="C30" s="43">
        <f>SUM(C19+D19)</f>
        <v>3115</v>
      </c>
    </row>
    <row r="31" spans="1:14" ht="15" x14ac:dyDescent="0.25">
      <c r="A31" s="7">
        <v>10110</v>
      </c>
      <c r="B31" s="11">
        <v>10114</v>
      </c>
      <c r="C31" s="43">
        <f>SUM(G19+I19)</f>
        <v>3418</v>
      </c>
    </row>
    <row r="32" spans="1:14" ht="15" x14ac:dyDescent="0.25">
      <c r="A32" s="7">
        <v>10104</v>
      </c>
      <c r="B32" s="11">
        <v>10106</v>
      </c>
      <c r="C32" s="43">
        <f>SUM(C19+D19)</f>
        <v>3115</v>
      </c>
    </row>
    <row r="33" spans="1:3" ht="15" x14ac:dyDescent="0.25">
      <c r="A33" s="7">
        <v>10110</v>
      </c>
      <c r="B33" s="11">
        <v>10112</v>
      </c>
      <c r="C33" s="43">
        <f>SUM(G19+H19)</f>
        <v>3098</v>
      </c>
    </row>
    <row r="34" spans="1:3" ht="15" x14ac:dyDescent="0.25">
      <c r="A34" s="7">
        <v>10100</v>
      </c>
      <c r="B34" s="11">
        <v>10114</v>
      </c>
      <c r="C34" s="43">
        <f>SUM(B19+I19)</f>
        <v>4297</v>
      </c>
    </row>
    <row r="35" spans="1:3" ht="15" x14ac:dyDescent="0.25">
      <c r="A35" s="9">
        <v>10112</v>
      </c>
      <c r="B35" s="12">
        <v>10116</v>
      </c>
      <c r="C35" s="44">
        <f>SUM(H19+J19)</f>
        <v>4048</v>
      </c>
    </row>
  </sheetData>
  <mergeCells count="1">
    <mergeCell ref="C4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2023-12-12T04:31:23Z</dcterms:modified>
</cp:coreProperties>
</file>